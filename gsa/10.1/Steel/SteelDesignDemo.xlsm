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oasys-sample-files\gsa\10.1\Steel\"/>
    </mc:Choice>
  </mc:AlternateContent>
  <xr:revisionPtr revIDLastSave="0" documentId="13_ncr:1_{C39C16A1-2A5F-4DD4-8C66-744B78CAB4D8}" xr6:coauthVersionLast="47" xr6:coauthVersionMax="47" xr10:uidLastSave="{00000000-0000-0000-0000-000000000000}"/>
  <bookViews>
    <workbookView xWindow="8100" yWindow="480" windowWidth="37860" windowHeight="19245" tabRatio="544" xr2:uid="{00000000-000D-0000-FFFF-FFFF00000000}"/>
  </bookViews>
  <sheets>
    <sheet name="Steel Design Demo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5" i="1" l="1"/>
  <c r="D94" i="1"/>
  <c r="D93" i="1"/>
  <c r="D92" i="1"/>
  <c r="D91" i="1"/>
  <c r="D90" i="1"/>
  <c r="C41" i="1"/>
  <c r="C20" i="1"/>
  <c r="C39" i="1"/>
  <c r="C66" i="1"/>
  <c r="C68" i="1"/>
  <c r="C30" i="1"/>
  <c r="C53" i="1"/>
  <c r="C22" i="1"/>
  <c r="C35" i="1"/>
  <c r="C14" i="1"/>
  <c r="C26" i="1"/>
  <c r="C109" i="1"/>
  <c r="C62" i="1"/>
  <c r="C61" i="1"/>
  <c r="C34" i="1"/>
  <c r="C48" i="1"/>
  <c r="C33" i="1"/>
  <c r="C58" i="1"/>
  <c r="C43" i="1"/>
  <c r="C50" i="1"/>
  <c r="C63" i="1"/>
  <c r="C25" i="1"/>
  <c r="C37" i="1"/>
  <c r="C15" i="1"/>
  <c r="C134" i="1"/>
  <c r="C59" i="1"/>
  <c r="C47" i="1"/>
  <c r="C29" i="1"/>
  <c r="C65" i="1"/>
  <c r="C67" i="1"/>
  <c r="C28" i="1"/>
  <c r="C18" i="1"/>
  <c r="C27" i="1"/>
  <c r="C42" i="1"/>
  <c r="C32" i="1"/>
  <c r="C84" i="1"/>
  <c r="C44" i="1"/>
  <c r="C23" i="1"/>
  <c r="C45" i="1"/>
  <c r="C19" i="1"/>
  <c r="C60" i="1"/>
  <c r="C56" i="1"/>
  <c r="C40" i="1"/>
  <c r="C52" i="1"/>
  <c r="C57" i="1"/>
  <c r="C31" i="1"/>
  <c r="C64" i="1"/>
  <c r="C21" i="1"/>
  <c r="C46" i="1"/>
  <c r="C51" i="1"/>
  <c r="C38" i="1"/>
  <c r="C16" i="1"/>
  <c r="C36" i="1"/>
  <c r="C5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Mulcahy</author>
  </authors>
  <commentList>
    <comment ref="B5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type numbers are used in the util functions (see below)</t>
        </r>
      </text>
    </comment>
    <comment ref="C7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(torsion not fully supported by bs5950 checker)</t>
        </r>
      </text>
    </comment>
    <comment ref="C7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Philip Mulcahy:
any section that the specified code checker supports. Use GSA syntax</t>
        </r>
        <r>
          <rPr>
            <sz val="8"/>
            <color indexed="81"/>
            <rFont val="Tahoma"/>
            <family val="2"/>
          </rPr>
          <t xml:space="preserve">
try changing this to a non- existent section</t>
        </r>
      </text>
    </comment>
    <comment ref="C8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Try using one of the SteelDesign toolbar buttons, or one of the menu items when this cell is selected…</t>
        </r>
      </text>
    </comment>
    <comment ref="C109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range arguments can be either rows or columns, but they all must be the same shape
 as each other, Blanks in the pos argument will terminate the member.</t>
        </r>
      </text>
    </comment>
    <comment ref="C1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</text>
    </comment>
  </commentList>
</comments>
</file>

<file path=xl/sharedStrings.xml><?xml version="1.0" encoding="utf-8"?>
<sst xmlns="http://schemas.openxmlformats.org/spreadsheetml/2006/main" count="122" uniqueCount="78">
  <si>
    <t>Demo of utility functions</t>
  </si>
  <si>
    <t>number of grades available</t>
  </si>
  <si>
    <t>grade no</t>
  </si>
  <si>
    <t>grade name</t>
  </si>
  <si>
    <t xml:space="preserve">number of codes available  </t>
  </si>
  <si>
    <t>code no</t>
  </si>
  <si>
    <t>code name</t>
  </si>
  <si>
    <t xml:space="preserve">number of utilization ratio types available </t>
  </si>
  <si>
    <t>type no</t>
  </si>
  <si>
    <t>name</t>
  </si>
  <si>
    <t>input data for a local check</t>
  </si>
  <si>
    <t>fx</t>
  </si>
  <si>
    <t>N</t>
  </si>
  <si>
    <t>fy</t>
  </si>
  <si>
    <t>fz</t>
  </si>
  <si>
    <t>mx</t>
  </si>
  <si>
    <t>my</t>
  </si>
  <si>
    <t>mz</t>
  </si>
  <si>
    <t>section</t>
  </si>
  <si>
    <t>cat ub ub457x191x89</t>
  </si>
  <si>
    <t>code</t>
  </si>
  <si>
    <t>grade</t>
  </si>
  <si>
    <t>plastic to elastic moment capacity limit</t>
  </si>
  <si>
    <t>net to gross area ratio</t>
  </si>
  <si>
    <t>local check overall utilization</t>
  </si>
  <si>
    <t>S355</t>
  </si>
  <si>
    <t>simple member check utilization</t>
  </si>
  <si>
    <t>input data for a simple member check</t>
  </si>
  <si>
    <t>end 1</t>
  </si>
  <si>
    <t>end2</t>
  </si>
  <si>
    <t>effective length xx</t>
  </si>
  <si>
    <t>effective length lt</t>
  </si>
  <si>
    <t>effective length yy</t>
  </si>
  <si>
    <t>multi-station member check utilization</t>
  </si>
  <si>
    <t>Input data for multi_station member check</t>
  </si>
  <si>
    <t>effective length LT</t>
  </si>
  <si>
    <t>This spreadsheet demonstrates the functions provided by the Oasys SteelDesign XLA addin for Microsoft Excel</t>
  </si>
  <si>
    <t>Point your mouse at the red triangles for additional information</t>
  </si>
  <si>
    <t>In order for this spreadsheet to work correctly, the following requirements need to be met:</t>
  </si>
  <si>
    <t>version</t>
  </si>
  <si>
    <t>version date</t>
  </si>
  <si>
    <t>4) The macro attached to this workbook must be allowed to run ('Enable Macros), so that it can attach the function names to your copy of  the XLA.</t>
  </si>
  <si>
    <r>
      <t>Examples of functions are in</t>
    </r>
    <r>
      <rPr>
        <b/>
        <sz val="16"/>
        <rFont val="Arial"/>
        <family val="2"/>
      </rPr>
      <t xml:space="preserve"> </t>
    </r>
    <r>
      <rPr>
        <b/>
        <sz val="16"/>
        <color indexed="12"/>
        <rFont val="Arial"/>
        <family val="2"/>
      </rPr>
      <t>Blue</t>
    </r>
  </si>
  <si>
    <r>
      <t xml:space="preserve">Notes are in </t>
    </r>
    <r>
      <rPr>
        <b/>
        <sz val="16"/>
        <color indexed="8"/>
        <rFont val="Arial"/>
        <family val="2"/>
      </rPr>
      <t>Black</t>
    </r>
  </si>
  <si>
    <t>2) SteelDesign.exe must be present on your system, together with at least one code-checking DLLs (GSA_DES_BS5950_1_2000.dll, GSA_DES_LRFD3.dll and GSA_DES_StressCheck.dll).</t>
  </si>
  <si>
    <t>3) SteelDesign.exe COM interface must be registered to your computer system (this should be done automatically after installing GSA, if not, ask Oasys for a REG file to this registration)</t>
  </si>
  <si>
    <t xml:space="preserve">number of standard unit available  </t>
  </si>
  <si>
    <t>standard unit no</t>
  </si>
  <si>
    <t>standard unit name</t>
  </si>
  <si>
    <t>Standard unit used</t>
  </si>
  <si>
    <t>SI</t>
  </si>
  <si>
    <t>European</t>
  </si>
  <si>
    <t>US</t>
  </si>
  <si>
    <t>Length</t>
  </si>
  <si>
    <t>m</t>
  </si>
  <si>
    <t>ft</t>
  </si>
  <si>
    <t>Force</t>
  </si>
  <si>
    <t>kN</t>
  </si>
  <si>
    <t>kip</t>
  </si>
  <si>
    <t>Moment</t>
  </si>
  <si>
    <t>N.m</t>
  </si>
  <si>
    <t>kN.m</t>
  </si>
  <si>
    <t>kip.ft</t>
  </si>
  <si>
    <t>Input unit in different standard unit</t>
  </si>
  <si>
    <t>Member points along member (distance from end 1)</t>
  </si>
  <si>
    <r>
      <t xml:space="preserve">Options of augument 5 in function SteelUtilLocal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</si>
  <si>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SteelUtilMemberA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</si>
  <si>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SteelUtilMemberB on the left are </t>
    </r>
    <r>
      <rPr>
        <b/>
        <sz val="10"/>
        <rFont val="Arial"/>
        <family val="2"/>
      </rPr>
      <t>"Rolled", Welded" or Formed"</t>
    </r>
  </si>
  <si>
    <r>
      <t>Editable cells are in</t>
    </r>
    <r>
      <rPr>
        <sz val="16"/>
        <color indexed="17"/>
        <rFont val="Arial"/>
        <family val="2"/>
      </rPr>
      <t xml:space="preserve"> G</t>
    </r>
    <r>
      <rPr>
        <b/>
        <sz val="16"/>
        <color indexed="17"/>
        <rFont val="Arial"/>
        <family val="2"/>
      </rPr>
      <t>reen</t>
    </r>
  </si>
  <si>
    <t>shear lag factor</t>
  </si>
  <si>
    <t>Lateral torsional buckling factor</t>
  </si>
  <si>
    <t>Moment amplification factor (strong axis)</t>
  </si>
  <si>
    <t>Moment amplification factor (weak axis)</t>
  </si>
  <si>
    <t>Only zero or positive values are used. Overrides the moment amplification factor (strong axis) in Hong Kong Code of Practice. Invalid for other design codes.</t>
  </si>
  <si>
    <t>BS 5950-1:2000</t>
  </si>
  <si>
    <t>1) The SteelDesign Add-In file (SteelDesignClient.xla) must be installed (added-in).  ('File | Options | Add-Ins... | Manage Excel Add-ins | Browse…' for the SteelDesignClient.xla in the GSA program folder)</t>
  </si>
  <si>
    <t>Only zero or positive values are used. Overrides alpha_m in AS4100 or mLT in Hong Kong Code of Practice, BS5950, IS800:2007 and all Eurocodes or Cb factor in American codes, this factor is not used by IS800:1984</t>
  </si>
  <si>
    <t>Equivalent uniform moment factor for LTB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</si>
</sst>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name val="Arial"/>
    </font>
    <font>
      <b/>
      <u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6"/>
      <color indexed="17"/>
      <name val="Arial"/>
      <family val="2"/>
    </font>
    <font>
      <b/>
      <sz val="16"/>
      <color indexed="17"/>
      <name val="Arial"/>
      <family val="2"/>
    </font>
    <font>
      <b/>
      <sz val="16"/>
      <color indexed="8"/>
      <name val="Arial"/>
      <family val="2"/>
    </font>
    <font>
      <sz val="10"/>
      <color indexed="17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/>
    <xf numFmtId="0" fontId="1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6" fillId="0" borderId="4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6" fillId="0" borderId="5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1" fillId="0" borderId="7" xfId="0" applyFont="1" applyBorder="1" applyProtection="1">
      <protection locked="0"/>
    </xf>
    <xf numFmtId="0" fontId="6" fillId="0" borderId="8" xfId="0" applyFont="1" applyBorder="1" applyProtection="1">
      <protection locked="0"/>
    </xf>
    <xf numFmtId="0" fontId="0" fillId="0" borderId="5" xfId="0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0" fillId="0" borderId="0" xfId="0" applyFill="1" applyBorder="1" applyProtection="1">
      <protection locked="0"/>
    </xf>
    <xf numFmtId="0" fontId="1" fillId="0" borderId="3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5" fillId="0" borderId="0" xfId="0" applyFont="1" applyBorder="1" applyProtection="1">
      <protection locked="0"/>
    </xf>
    <xf numFmtId="0" fontId="15" fillId="0" borderId="4" xfId="0" applyFont="1" applyBorder="1" applyProtection="1">
      <protection locked="0"/>
    </xf>
    <xf numFmtId="0" fontId="0" fillId="0" borderId="9" xfId="0" applyBorder="1" applyProtection="1">
      <protection locked="0"/>
    </xf>
    <xf numFmtId="0" fontId="6" fillId="0" borderId="10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Protection="1">
      <protection locked="0"/>
    </xf>
    <xf numFmtId="0" fontId="6" fillId="0" borderId="5" xfId="0" applyFont="1" applyBorder="1" applyProtection="1"/>
    <xf numFmtId="0" fontId="10" fillId="0" borderId="0" xfId="0" applyFont="1"/>
    <xf numFmtId="0" fontId="0" fillId="0" borderId="7" xfId="0" applyBorder="1" applyProtection="1">
      <protection locked="0"/>
    </xf>
    <xf numFmtId="0" fontId="6" fillId="0" borderId="14" xfId="0" applyFont="1" applyBorder="1" applyProtection="1">
      <protection locked="0"/>
    </xf>
    <xf numFmtId="0" fontId="10" fillId="0" borderId="0" xfId="0" applyFont="1" applyProtection="1">
      <protection locked="0"/>
    </xf>
    <xf numFmtId="0" fontId="2" fillId="0" borderId="13" xfId="0" applyFont="1" applyBorder="1" applyAlignment="1">
      <alignment horizontal="center"/>
    </xf>
    <xf numFmtId="0" fontId="10" fillId="0" borderId="3" xfId="0" applyFont="1" applyFill="1" applyBorder="1" applyProtection="1">
      <protection locked="0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E514FA7-5EA1-441D-A4BC-9722521DDFF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Oasys/GSA%2010.1/SteelDesignClient1.8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"/>
      <sheetName val="SteelDesignClient1.8"/>
    </sheetNames>
    <definedNames>
      <definedName name="steelcodename"/>
      <definedName name="steelgradeName"/>
      <definedName name="SteelNumCodes"/>
      <definedName name="steelnumgrades"/>
      <definedName name="steelnumstdunit"/>
      <definedName name="SteelNumUtilTypes"/>
      <definedName name="steelstdunitname"/>
      <definedName name="SteelUtilLocal"/>
      <definedName name="SteelUtilMemberA"/>
      <definedName name="SteelUtilMemberB"/>
      <definedName name="SteelUtilTypeName"/>
      <definedName name="SteelVersion"/>
      <definedName name="SteelVersionDat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35"/>
  <sheetViews>
    <sheetView tabSelected="1" topLeftCell="A75" zoomScaleNormal="100" workbookViewId="0">
      <selection activeCell="I93" sqref="I93"/>
    </sheetView>
  </sheetViews>
  <sheetFormatPr defaultRowHeight="12.75" x14ac:dyDescent="0.2"/>
  <cols>
    <col min="2" max="2" width="45" customWidth="1"/>
    <col min="3" max="3" width="25.5703125" customWidth="1"/>
    <col min="4" max="7" width="9.85546875" customWidth="1"/>
    <col min="9" max="11" width="15.5703125" customWidth="1"/>
  </cols>
  <sheetData>
    <row r="1" spans="2:11" ht="26.25" customHeight="1" x14ac:dyDescent="0.2">
      <c r="B1" s="23" t="s">
        <v>36</v>
      </c>
      <c r="C1" s="24"/>
      <c r="D1" s="24"/>
      <c r="E1" s="24"/>
      <c r="F1" s="24"/>
      <c r="G1" s="24"/>
      <c r="H1" s="25"/>
    </row>
    <row r="2" spans="2:11" ht="26.25" customHeight="1" x14ac:dyDescent="0.2">
      <c r="B2" s="23" t="s">
        <v>42</v>
      </c>
      <c r="C2" s="24"/>
      <c r="D2" s="24"/>
      <c r="E2" s="24"/>
      <c r="F2" s="24"/>
      <c r="G2" s="24"/>
      <c r="H2" s="25"/>
    </row>
    <row r="3" spans="2:11" ht="26.25" customHeight="1" x14ac:dyDescent="0.2">
      <c r="B3" s="23" t="s">
        <v>68</v>
      </c>
      <c r="C3" s="24"/>
      <c r="D3" s="24"/>
      <c r="E3" s="24"/>
      <c r="F3" s="24"/>
      <c r="G3" s="24"/>
      <c r="H3" s="25"/>
    </row>
    <row r="4" spans="2:11" ht="26.25" customHeight="1" x14ac:dyDescent="0.2">
      <c r="B4" s="23" t="s">
        <v>43</v>
      </c>
      <c r="C4" s="24"/>
      <c r="D4" s="24"/>
      <c r="E4" s="24"/>
      <c r="F4" s="24"/>
      <c r="G4" s="24"/>
      <c r="H4" s="25"/>
    </row>
    <row r="5" spans="2:11" ht="26.25" customHeight="1" x14ac:dyDescent="0.2">
      <c r="B5" s="23" t="s">
        <v>37</v>
      </c>
      <c r="C5" s="24"/>
      <c r="D5" s="24"/>
      <c r="E5" s="24"/>
      <c r="F5" s="24"/>
      <c r="G5" s="24"/>
      <c r="H5" s="25"/>
    </row>
    <row r="6" spans="2:11" ht="26.25" customHeight="1" x14ac:dyDescent="0.2">
      <c r="B6" s="23" t="s">
        <v>38</v>
      </c>
      <c r="C6" s="24"/>
      <c r="D6" s="24"/>
      <c r="E6" s="24"/>
      <c r="F6" s="24"/>
      <c r="G6" s="24"/>
      <c r="H6" s="25"/>
    </row>
    <row r="7" spans="2:11" ht="26.25" customHeight="1" x14ac:dyDescent="0.2">
      <c r="B7" s="26" t="s">
        <v>75</v>
      </c>
      <c r="C7" s="24"/>
      <c r="D7" s="24"/>
      <c r="E7" s="24"/>
      <c r="F7" s="24"/>
      <c r="G7" s="24"/>
      <c r="H7" s="25"/>
    </row>
    <row r="8" spans="2:11" ht="26.25" customHeight="1" x14ac:dyDescent="0.2">
      <c r="B8" s="26" t="s">
        <v>44</v>
      </c>
      <c r="C8" s="24"/>
      <c r="D8" s="24"/>
      <c r="E8" s="24"/>
      <c r="F8" s="24"/>
      <c r="G8" s="24"/>
      <c r="H8" s="25"/>
    </row>
    <row r="9" spans="2:11" ht="26.25" customHeight="1" x14ac:dyDescent="0.2">
      <c r="B9" s="26" t="s">
        <v>45</v>
      </c>
      <c r="C9" s="24"/>
      <c r="D9" s="24"/>
      <c r="E9" s="24"/>
      <c r="F9" s="24"/>
      <c r="G9" s="24"/>
      <c r="H9" s="25"/>
    </row>
    <row r="10" spans="2:11" ht="26.25" customHeight="1" x14ac:dyDescent="0.2">
      <c r="B10" s="26" t="s">
        <v>41</v>
      </c>
      <c r="C10" s="24"/>
      <c r="D10" s="24"/>
      <c r="E10" s="24"/>
      <c r="F10" s="24"/>
      <c r="G10" s="24"/>
      <c r="H10" s="25"/>
    </row>
    <row r="11" spans="2:11" ht="13.5" thickBot="1" x14ac:dyDescent="0.25">
      <c r="H11" s="5"/>
    </row>
    <row r="12" spans="2:11" x14ac:dyDescent="0.2">
      <c r="B12" s="2" t="s">
        <v>0</v>
      </c>
      <c r="C12" s="3"/>
      <c r="D12" s="4"/>
      <c r="E12" s="4"/>
      <c r="F12" s="4"/>
      <c r="G12" s="4"/>
      <c r="H12" s="5"/>
    </row>
    <row r="13" spans="2:11" x14ac:dyDescent="0.2">
      <c r="B13" s="21"/>
      <c r="C13" s="7"/>
      <c r="D13" s="4"/>
      <c r="E13" s="4"/>
      <c r="F13" s="4"/>
      <c r="G13" s="4"/>
      <c r="H13" s="5"/>
    </row>
    <row r="14" spans="2:11" x14ac:dyDescent="0.2">
      <c r="B14" s="22" t="s">
        <v>39</v>
      </c>
      <c r="C14" s="8" t="str">
        <f>[1]!SteelVersion()</f>
        <v>1.8</v>
      </c>
      <c r="D14" s="4"/>
      <c r="E14" s="4"/>
      <c r="F14" s="4"/>
      <c r="G14" s="4"/>
      <c r="H14" s="42" t="s">
        <v>63</v>
      </c>
      <c r="I14" s="42"/>
      <c r="J14" s="42"/>
      <c r="K14" s="42"/>
    </row>
    <row r="15" spans="2:11" x14ac:dyDescent="0.2">
      <c r="B15" s="22" t="s">
        <v>40</v>
      </c>
      <c r="C15" s="8" t="str">
        <f>[1]!SteelVersionDate()</f>
        <v>May 2022</v>
      </c>
      <c r="D15" s="4"/>
      <c r="E15" s="4"/>
      <c r="F15" s="4"/>
      <c r="G15" s="4"/>
      <c r="H15" s="32"/>
      <c r="I15" s="35" t="s">
        <v>50</v>
      </c>
      <c r="J15" s="35" t="s">
        <v>51</v>
      </c>
      <c r="K15" s="35" t="s">
        <v>52</v>
      </c>
    </row>
    <row r="16" spans="2:11" x14ac:dyDescent="0.2">
      <c r="B16" s="29" t="s">
        <v>1</v>
      </c>
      <c r="C16" s="30">
        <f>[1]!steelnumgrades()</f>
        <v>139</v>
      </c>
      <c r="D16" s="4"/>
      <c r="E16" s="4"/>
      <c r="F16" s="4"/>
      <c r="G16" s="4"/>
      <c r="H16" s="36" t="s">
        <v>53</v>
      </c>
      <c r="I16" s="33" t="s">
        <v>54</v>
      </c>
      <c r="J16" s="33" t="s">
        <v>54</v>
      </c>
      <c r="K16" s="34" t="s">
        <v>55</v>
      </c>
    </row>
    <row r="17" spans="2:11" x14ac:dyDescent="0.2">
      <c r="B17" s="6" t="s">
        <v>2</v>
      </c>
      <c r="C17" s="7" t="s">
        <v>3</v>
      </c>
      <c r="D17" s="4"/>
      <c r="E17" s="4"/>
      <c r="F17" s="4"/>
      <c r="G17" s="4"/>
      <c r="H17" s="36" t="s">
        <v>56</v>
      </c>
      <c r="I17" s="33" t="s">
        <v>12</v>
      </c>
      <c r="J17" s="33" t="s">
        <v>57</v>
      </c>
      <c r="K17" s="34" t="s">
        <v>58</v>
      </c>
    </row>
    <row r="18" spans="2:11" x14ac:dyDescent="0.2">
      <c r="B18" s="6">
        <v>1</v>
      </c>
      <c r="C18" s="8" t="str">
        <f>[1]!steelgradeName(B18)</f>
        <v>User_defined</v>
      </c>
      <c r="D18" s="4"/>
      <c r="E18" s="4"/>
      <c r="F18" s="4"/>
      <c r="G18" s="4"/>
      <c r="H18" s="36" t="s">
        <v>59</v>
      </c>
      <c r="I18" s="33" t="s">
        <v>60</v>
      </c>
      <c r="J18" s="33" t="s">
        <v>61</v>
      </c>
      <c r="K18" s="34" t="s">
        <v>62</v>
      </c>
    </row>
    <row r="19" spans="2:11" x14ac:dyDescent="0.2">
      <c r="B19" s="6">
        <v>2</v>
      </c>
      <c r="C19" s="8" t="str">
        <f>[1]!steelgradeName(B19)</f>
        <v>S235</v>
      </c>
      <c r="D19" s="4"/>
      <c r="E19" s="4"/>
      <c r="F19" s="4"/>
      <c r="G19" s="4"/>
      <c r="H19" s="5"/>
    </row>
    <row r="20" spans="2:11" x14ac:dyDescent="0.2">
      <c r="B20" s="6">
        <v>3</v>
      </c>
      <c r="C20" s="8" t="str">
        <f>[1]!steelgradeName(B20)</f>
        <v>S275</v>
      </c>
      <c r="D20" s="4"/>
      <c r="E20" s="4"/>
      <c r="F20" s="4"/>
      <c r="G20" s="4"/>
      <c r="H20" s="5"/>
    </row>
    <row r="21" spans="2:11" x14ac:dyDescent="0.2">
      <c r="B21" s="6">
        <v>4</v>
      </c>
      <c r="C21" s="8" t="str">
        <f>[1]!steelgradeName(B21)</f>
        <v>S355</v>
      </c>
      <c r="D21" s="4"/>
      <c r="E21" s="4"/>
      <c r="F21" s="4"/>
      <c r="G21" s="4"/>
      <c r="H21" s="5"/>
    </row>
    <row r="22" spans="2:11" x14ac:dyDescent="0.2">
      <c r="B22" s="6">
        <v>5</v>
      </c>
      <c r="C22" s="8" t="str">
        <f>[1]!steelgradeName(B22)</f>
        <v>S450</v>
      </c>
      <c r="D22" s="4"/>
      <c r="E22" s="4"/>
      <c r="F22" s="4"/>
      <c r="G22" s="4"/>
      <c r="H22" s="5"/>
    </row>
    <row r="23" spans="2:11" x14ac:dyDescent="0.2">
      <c r="B23" s="29" t="s">
        <v>4</v>
      </c>
      <c r="C23" s="30">
        <f>[1]!SteelNumCodes()</f>
        <v>23</v>
      </c>
      <c r="D23" s="4"/>
      <c r="E23" s="4"/>
      <c r="F23" s="4"/>
      <c r="G23" s="4"/>
      <c r="H23" s="5"/>
    </row>
    <row r="24" spans="2:11" x14ac:dyDescent="0.2">
      <c r="B24" s="6" t="s">
        <v>5</v>
      </c>
      <c r="C24" s="7" t="s">
        <v>6</v>
      </c>
      <c r="D24" s="4"/>
      <c r="E24" s="4"/>
      <c r="F24" s="4"/>
      <c r="G24" s="4"/>
      <c r="H24" s="5"/>
    </row>
    <row r="25" spans="2:11" x14ac:dyDescent="0.2">
      <c r="B25" s="6">
        <v>1</v>
      </c>
      <c r="C25" s="8" t="str">
        <f>[1]!steelcodename(B25)</f>
        <v>ANSI/AISC 360-05 (ASD)</v>
      </c>
      <c r="D25" s="4"/>
      <c r="E25" s="4"/>
      <c r="F25" s="4"/>
      <c r="G25" s="4"/>
      <c r="H25" s="5"/>
    </row>
    <row r="26" spans="2:11" x14ac:dyDescent="0.2">
      <c r="B26" s="6">
        <v>2</v>
      </c>
      <c r="C26" s="8" t="str">
        <f>[1]!steelcodename(B26)</f>
        <v>ANSI/AISC 360-05 (LRFD)</v>
      </c>
      <c r="D26" s="4"/>
      <c r="E26" s="4"/>
      <c r="F26" s="4"/>
      <c r="G26" s="4"/>
      <c r="H26" s="5"/>
    </row>
    <row r="27" spans="2:11" x14ac:dyDescent="0.2">
      <c r="B27" s="6">
        <v>3</v>
      </c>
      <c r="C27" s="8" t="str">
        <f>[1]!steelcodename(B27)</f>
        <v>ANSI/AISC 360-10 (LRFD)</v>
      </c>
      <c r="D27" s="4"/>
      <c r="E27" s="4"/>
      <c r="F27" s="4"/>
      <c r="G27" s="4"/>
      <c r="H27" s="5"/>
    </row>
    <row r="28" spans="2:11" x14ac:dyDescent="0.2">
      <c r="B28" s="6">
        <v>4</v>
      </c>
      <c r="C28" s="8" t="str">
        <f>[1]!steelcodename(B28)</f>
        <v>ANSI/AISC 360-10 (ASD)</v>
      </c>
      <c r="D28" s="4"/>
      <c r="E28" s="4"/>
      <c r="F28" s="4"/>
      <c r="G28" s="4"/>
      <c r="H28" s="5"/>
    </row>
    <row r="29" spans="2:11" x14ac:dyDescent="0.2">
      <c r="B29" s="6">
        <v>5</v>
      </c>
      <c r="C29" s="8" t="str">
        <f>[1]!steelcodename(B29)</f>
        <v>AS 4100-1998</v>
      </c>
      <c r="D29" s="4"/>
      <c r="E29" s="4"/>
      <c r="F29" s="4"/>
      <c r="G29" s="4"/>
      <c r="H29" s="5"/>
    </row>
    <row r="30" spans="2:11" x14ac:dyDescent="0.2">
      <c r="B30" s="6">
        <v>6</v>
      </c>
      <c r="C30" s="8" t="str">
        <f>[1]!steelcodename(B30)</f>
        <v>BS 5950-1:2000</v>
      </c>
      <c r="D30" s="4"/>
      <c r="E30" s="4"/>
      <c r="F30" s="4"/>
      <c r="G30" s="4"/>
      <c r="H30" s="5"/>
    </row>
    <row r="31" spans="2:11" x14ac:dyDescent="0.2">
      <c r="B31" s="6">
        <v>7</v>
      </c>
      <c r="C31" s="8" t="str">
        <f>[1]!steelcodename(B31)</f>
        <v>CSA S16-09</v>
      </c>
      <c r="D31" s="4"/>
      <c r="E31" s="4"/>
      <c r="F31" s="4"/>
      <c r="G31" s="4"/>
      <c r="H31" s="5"/>
    </row>
    <row r="32" spans="2:11" x14ac:dyDescent="0.2">
      <c r="B32" s="6">
        <v>8</v>
      </c>
      <c r="C32" s="8" t="str">
        <f>[1]!steelcodename(B32)</f>
        <v>CSA S16-14</v>
      </c>
      <c r="D32" s="4"/>
      <c r="E32" s="4"/>
      <c r="F32" s="4"/>
      <c r="G32" s="4"/>
      <c r="H32" s="5"/>
    </row>
    <row r="33" spans="2:8" x14ac:dyDescent="0.2">
      <c r="B33" s="6">
        <v>9</v>
      </c>
      <c r="C33" s="8" t="str">
        <f>[1]!steelcodename(B33)</f>
        <v>EN 1993-1-1:2005</v>
      </c>
      <c r="D33" s="4"/>
      <c r="E33" s="4"/>
      <c r="F33" s="4"/>
      <c r="G33" s="4"/>
      <c r="H33" s="5"/>
    </row>
    <row r="34" spans="2:8" x14ac:dyDescent="0.2">
      <c r="B34" s="6">
        <v>10</v>
      </c>
      <c r="C34" s="8" t="str">
        <f>[1]!steelcodename(B34)</f>
        <v>BS EN 1993-1-1:2005</v>
      </c>
      <c r="D34" s="4"/>
      <c r="E34" s="4"/>
      <c r="F34" s="4"/>
      <c r="G34" s="4"/>
      <c r="H34" s="5"/>
    </row>
    <row r="35" spans="2:8" x14ac:dyDescent="0.2">
      <c r="B35" s="6">
        <v>11</v>
      </c>
      <c r="C35" s="8" t="str">
        <f>[1]!steelcodename(B35)</f>
        <v>NEN-EN 1993-1-1:2006</v>
      </c>
      <c r="D35" s="4"/>
      <c r="E35" s="4"/>
      <c r="F35" s="4"/>
      <c r="G35" s="4"/>
      <c r="H35" s="5"/>
    </row>
    <row r="36" spans="2:8" x14ac:dyDescent="0.2">
      <c r="B36" s="6">
        <v>12</v>
      </c>
      <c r="C36" s="8" t="str">
        <f>[1]!steelcodename(B36)</f>
        <v>NF EN 1993-1-1:2005</v>
      </c>
      <c r="D36" s="4"/>
      <c r="E36" s="4"/>
      <c r="F36" s="4"/>
      <c r="G36" s="4"/>
      <c r="H36" s="5"/>
    </row>
    <row r="37" spans="2:8" x14ac:dyDescent="0.2">
      <c r="B37" s="6">
        <v>13</v>
      </c>
      <c r="C37" s="8" t="str">
        <f>[1]!steelcodename(B37)</f>
        <v>SS EN 1993-1-1:2010</v>
      </c>
      <c r="D37" s="4"/>
      <c r="E37" s="4"/>
      <c r="F37" s="4"/>
      <c r="G37" s="4"/>
      <c r="H37" s="5"/>
    </row>
    <row r="38" spans="2:8" x14ac:dyDescent="0.2">
      <c r="B38" s="6">
        <v>14</v>
      </c>
      <c r="C38" s="8" t="str">
        <f>[1]!steelcodename(B38)</f>
        <v>BS EN 1993-1-2:2005 (Fire)</v>
      </c>
      <c r="D38" s="4"/>
      <c r="E38" s="4"/>
      <c r="F38" s="4"/>
      <c r="G38" s="4"/>
      <c r="H38" s="5"/>
    </row>
    <row r="39" spans="2:8" x14ac:dyDescent="0.2">
      <c r="B39" s="6">
        <v>15</v>
      </c>
      <c r="C39" s="8" t="str">
        <f>[1]!steelcodename(B39)</f>
        <v xml:space="preserve">I.S. EN 1993-1-1:2005 </v>
      </c>
      <c r="D39" s="4"/>
      <c r="E39" s="4"/>
      <c r="F39" s="4"/>
      <c r="G39" s="4"/>
      <c r="H39" s="5"/>
    </row>
    <row r="40" spans="2:8" x14ac:dyDescent="0.2">
      <c r="B40" s="6">
        <v>16</v>
      </c>
      <c r="C40" s="8" t="str">
        <f>[1]!steelcodename(B40)</f>
        <v>DIN EN 1993-1-1:2005</v>
      </c>
      <c r="D40" s="4"/>
      <c r="E40" s="4"/>
      <c r="F40" s="4"/>
      <c r="G40" s="4"/>
      <c r="H40" s="5"/>
    </row>
    <row r="41" spans="2:8" x14ac:dyDescent="0.2">
      <c r="B41" s="6">
        <v>17</v>
      </c>
      <c r="C41" s="8" t="str">
        <f>[1]!steelcodename(B41)</f>
        <v>Hong Kong Code of Practice 2005</v>
      </c>
      <c r="D41" s="4"/>
      <c r="E41" s="4"/>
      <c r="F41" s="4"/>
      <c r="G41" s="4"/>
      <c r="H41" s="5"/>
    </row>
    <row r="42" spans="2:8" x14ac:dyDescent="0.2">
      <c r="B42" s="6">
        <v>18</v>
      </c>
      <c r="C42" s="8" t="str">
        <f>[1]!steelcodename(B42)</f>
        <v>Hong Kong Code of Practice 2011</v>
      </c>
      <c r="D42" s="4"/>
      <c r="E42" s="4"/>
      <c r="F42" s="4"/>
      <c r="G42" s="4"/>
      <c r="H42" s="5"/>
    </row>
    <row r="43" spans="2:8" x14ac:dyDescent="0.2">
      <c r="B43" s="6">
        <v>19</v>
      </c>
      <c r="C43" s="8" t="str">
        <f>[1]!steelcodename(B43)</f>
        <v>IS 800 : 1984</v>
      </c>
      <c r="D43" s="4"/>
      <c r="E43" s="4"/>
      <c r="F43" s="4"/>
      <c r="G43" s="4"/>
      <c r="H43" s="5"/>
    </row>
    <row r="44" spans="2:8" x14ac:dyDescent="0.2">
      <c r="B44" s="6">
        <v>20</v>
      </c>
      <c r="C44" s="8" t="str">
        <f>[1]!steelcodename(B44)</f>
        <v>IS 800 : 2007</v>
      </c>
      <c r="D44" s="4"/>
      <c r="E44" s="4"/>
      <c r="F44" s="4"/>
      <c r="G44" s="4"/>
      <c r="H44" s="5"/>
    </row>
    <row r="45" spans="2:8" x14ac:dyDescent="0.2">
      <c r="B45" s="6">
        <v>21</v>
      </c>
      <c r="C45" s="8" t="str">
        <f>[1]!steelcodename(B45)</f>
        <v>AISC LRFD (3rd Ed)</v>
      </c>
      <c r="D45" s="4"/>
      <c r="E45" s="4"/>
      <c r="F45" s="4"/>
      <c r="G45" s="4"/>
      <c r="H45" s="5"/>
    </row>
    <row r="46" spans="2:8" x14ac:dyDescent="0.2">
      <c r="B46" s="6">
        <v>22</v>
      </c>
      <c r="C46" s="8" t="str">
        <f>[1]!steelcodename(B46)</f>
        <v>SANS 10162-1:2011</v>
      </c>
      <c r="D46" s="4"/>
      <c r="E46" s="4"/>
      <c r="F46" s="4"/>
      <c r="G46" s="4"/>
      <c r="H46" s="5"/>
    </row>
    <row r="47" spans="2:8" x14ac:dyDescent="0.2">
      <c r="B47" s="6">
        <v>23</v>
      </c>
      <c r="C47" s="8" t="str">
        <f>[1]!steelcodename(B47)</f>
        <v>&lt;steel generic&gt;</v>
      </c>
      <c r="D47" s="4"/>
      <c r="E47" s="4"/>
      <c r="F47" s="4"/>
      <c r="G47" s="4"/>
      <c r="H47" s="5"/>
    </row>
    <row r="48" spans="2:8" x14ac:dyDescent="0.2">
      <c r="B48" s="29" t="s">
        <v>46</v>
      </c>
      <c r="C48" s="30">
        <f>[1]!steelnumstdunit()</f>
        <v>3</v>
      </c>
      <c r="D48" s="4"/>
      <c r="E48" s="4"/>
      <c r="F48" s="4"/>
      <c r="G48" s="4"/>
      <c r="H48" s="5"/>
    </row>
    <row r="49" spans="2:8" x14ac:dyDescent="0.2">
      <c r="B49" s="6" t="s">
        <v>47</v>
      </c>
      <c r="C49" s="7" t="s">
        <v>48</v>
      </c>
      <c r="D49" s="4"/>
      <c r="E49" s="4"/>
      <c r="F49" s="4"/>
      <c r="G49" s="4"/>
      <c r="H49" s="5"/>
    </row>
    <row r="50" spans="2:8" x14ac:dyDescent="0.2">
      <c r="B50" s="6">
        <v>1</v>
      </c>
      <c r="C50" s="8" t="str">
        <f>[1]!steelstdunitname(B50)</f>
        <v>SI</v>
      </c>
      <c r="D50" s="4"/>
      <c r="E50" s="4"/>
      <c r="F50" s="4"/>
      <c r="G50" s="4"/>
      <c r="H50" s="5"/>
    </row>
    <row r="51" spans="2:8" x14ac:dyDescent="0.2">
      <c r="B51" s="6">
        <v>2</v>
      </c>
      <c r="C51" s="8" t="str">
        <f>[1]!steelstdunitname(B51)</f>
        <v>European</v>
      </c>
      <c r="D51" s="4"/>
      <c r="E51" s="4"/>
      <c r="F51" s="4"/>
      <c r="G51" s="4"/>
      <c r="H51" s="5"/>
    </row>
    <row r="52" spans="2:8" x14ac:dyDescent="0.2">
      <c r="B52" s="31">
        <v>3</v>
      </c>
      <c r="C52" s="40" t="str">
        <f>[1]!steelstdunitname(B52)</f>
        <v>US</v>
      </c>
      <c r="D52" s="4"/>
      <c r="E52" s="4"/>
      <c r="F52" s="4"/>
      <c r="G52" s="4"/>
      <c r="H52" s="5"/>
    </row>
    <row r="53" spans="2:8" x14ac:dyDescent="0.2">
      <c r="B53" s="6" t="s">
        <v>7</v>
      </c>
      <c r="C53" s="8">
        <f>[1]!SteelNumUtilTypes()</f>
        <v>12</v>
      </c>
      <c r="D53" s="4"/>
      <c r="E53" s="4"/>
      <c r="F53" s="4"/>
      <c r="G53" s="4"/>
      <c r="H53" s="5"/>
    </row>
    <row r="54" spans="2:8" x14ac:dyDescent="0.2">
      <c r="B54" s="6" t="s">
        <v>8</v>
      </c>
      <c r="C54" s="7" t="s">
        <v>9</v>
      </c>
      <c r="D54" s="4"/>
      <c r="E54" s="4"/>
      <c r="F54" s="4"/>
      <c r="G54" s="4"/>
      <c r="H54" s="5"/>
    </row>
    <row r="55" spans="2:8" x14ac:dyDescent="0.2">
      <c r="B55" s="6">
        <v>1</v>
      </c>
      <c r="C55" s="8" t="str">
        <f>[1]!SteelUtilTypeName(B55)</f>
        <v>overall</v>
      </c>
      <c r="D55" s="4"/>
      <c r="E55" s="4"/>
      <c r="F55" s="4"/>
      <c r="G55" s="4"/>
      <c r="H55" s="5"/>
    </row>
    <row r="56" spans="2:8" x14ac:dyDescent="0.2">
      <c r="B56" s="6">
        <v>2</v>
      </c>
      <c r="C56" s="8" t="str">
        <f>[1]!SteelUtilTypeName(B56)</f>
        <v>local combined</v>
      </c>
      <c r="D56" s="4"/>
      <c r="E56" s="4"/>
      <c r="F56" s="4"/>
      <c r="G56" s="4"/>
      <c r="H56" s="5"/>
    </row>
    <row r="57" spans="2:8" x14ac:dyDescent="0.2">
      <c r="B57" s="6">
        <v>3</v>
      </c>
      <c r="C57" s="8" t="str">
        <f>[1]!SteelUtilTypeName(B57)</f>
        <v>local axial</v>
      </c>
      <c r="D57" s="4"/>
      <c r="E57" s="4"/>
      <c r="F57" s="4"/>
      <c r="G57" s="4"/>
      <c r="H57" s="5"/>
    </row>
    <row r="58" spans="2:8" x14ac:dyDescent="0.2">
      <c r="B58" s="6">
        <v>4</v>
      </c>
      <c r="C58" s="8" t="str">
        <f>[1]!SteelUtilTypeName(B58)</f>
        <v>local moment major</v>
      </c>
      <c r="D58" s="4"/>
      <c r="E58" s="4"/>
      <c r="F58" s="4"/>
      <c r="G58" s="4"/>
      <c r="H58" s="5"/>
    </row>
    <row r="59" spans="2:8" x14ac:dyDescent="0.2">
      <c r="B59" s="6">
        <v>5</v>
      </c>
      <c r="C59" s="8" t="str">
        <f>[1]!SteelUtilTypeName(B59)</f>
        <v>local moment minor</v>
      </c>
      <c r="D59" s="4"/>
      <c r="E59" s="4"/>
      <c r="F59" s="4"/>
      <c r="G59" s="4"/>
      <c r="H59" s="5"/>
    </row>
    <row r="60" spans="2:8" x14ac:dyDescent="0.2">
      <c r="B60" s="6">
        <v>6</v>
      </c>
      <c r="C60" s="8" t="str">
        <f>[1]!SteelUtilTypeName(B60)</f>
        <v>local shear major</v>
      </c>
      <c r="D60" s="4"/>
      <c r="E60" s="4"/>
      <c r="F60" s="4"/>
      <c r="G60" s="4"/>
      <c r="H60" s="5"/>
    </row>
    <row r="61" spans="2:8" x14ac:dyDescent="0.2">
      <c r="B61" s="6">
        <v>7</v>
      </c>
      <c r="C61" s="8" t="str">
        <f>[1]!SteelUtilTypeName(B61)</f>
        <v>local shear minor</v>
      </c>
      <c r="D61" s="4"/>
      <c r="E61" s="4"/>
      <c r="F61" s="4"/>
      <c r="G61" s="9"/>
      <c r="H61" s="5"/>
    </row>
    <row r="62" spans="2:8" x14ac:dyDescent="0.2">
      <c r="B62" s="6">
        <v>8</v>
      </c>
      <c r="C62" s="8" t="str">
        <f>[1]!SteelUtilTypeName(B62)</f>
        <v>local torsion</v>
      </c>
      <c r="D62" s="4"/>
      <c r="E62" s="4"/>
      <c r="F62" s="4"/>
      <c r="G62" s="4"/>
      <c r="H62" s="5"/>
    </row>
    <row r="63" spans="2:8" x14ac:dyDescent="0.2">
      <c r="B63" s="6">
        <v>9</v>
      </c>
      <c r="C63" s="8" t="str">
        <f>[1]!SteelUtilTypeName(B63)</f>
        <v>buckling combined</v>
      </c>
      <c r="D63" s="4"/>
      <c r="E63" s="4"/>
      <c r="F63" s="4"/>
      <c r="G63" s="4"/>
      <c r="H63" s="5"/>
    </row>
    <row r="64" spans="2:8" x14ac:dyDescent="0.2">
      <c r="B64" s="6">
        <v>10</v>
      </c>
      <c r="C64" s="8" t="str">
        <f>[1]!SteelUtilTypeName(B64)</f>
        <v>buckling lateral-torsional</v>
      </c>
      <c r="D64" s="4"/>
      <c r="E64" s="4"/>
      <c r="F64" s="4"/>
      <c r="G64" s="4"/>
      <c r="H64" s="5"/>
    </row>
    <row r="65" spans="2:8" x14ac:dyDescent="0.2">
      <c r="B65" s="6">
        <v>11</v>
      </c>
      <c r="C65" s="8" t="str">
        <f>[1]!SteelUtilTypeName(B65)</f>
        <v>buckling axial-major</v>
      </c>
      <c r="D65" s="4"/>
      <c r="E65" s="4"/>
      <c r="F65" s="4"/>
      <c r="G65" s="4"/>
      <c r="H65" s="5"/>
    </row>
    <row r="66" spans="2:8" x14ac:dyDescent="0.2">
      <c r="B66" s="6">
        <v>12</v>
      </c>
      <c r="C66" s="8" t="str">
        <f>[1]!SteelUtilTypeName(B66)</f>
        <v>buckling axial-minor</v>
      </c>
      <c r="D66" s="4"/>
      <c r="E66" s="4"/>
      <c r="F66" s="4"/>
      <c r="G66" s="4"/>
      <c r="H66" s="5"/>
    </row>
    <row r="67" spans="2:8" x14ac:dyDescent="0.2">
      <c r="B67" s="6">
        <v>13</v>
      </c>
      <c r="C67" s="8" t="str">
        <f>[1]!SteelUtilTypeName(B67)</f>
        <v>buckling axial-torsion</v>
      </c>
      <c r="D67" s="4"/>
      <c r="E67" s="4"/>
      <c r="F67" s="4"/>
      <c r="G67" s="4"/>
      <c r="H67" s="5"/>
    </row>
    <row r="68" spans="2:8" ht="13.5" thickBot="1" x14ac:dyDescent="0.25">
      <c r="B68" s="39">
        <v>14</v>
      </c>
      <c r="C68" s="10" t="str">
        <f>[1]!SteelUtilTypeName(B68)</f>
        <v>buckling axial-flexural torsion</v>
      </c>
      <c r="D68" s="4"/>
      <c r="E68" s="4"/>
      <c r="F68" s="4"/>
      <c r="G68" s="4"/>
      <c r="H68" s="5"/>
    </row>
    <row r="69" spans="2:8" ht="13.5" thickBot="1" x14ac:dyDescent="0.25">
      <c r="B69" s="4"/>
      <c r="C69" s="4"/>
      <c r="D69" s="4"/>
      <c r="E69" s="4"/>
      <c r="F69" s="4"/>
      <c r="G69" s="4"/>
      <c r="H69" s="5"/>
    </row>
    <row r="70" spans="2:8" x14ac:dyDescent="0.2">
      <c r="B70" s="2" t="s">
        <v>10</v>
      </c>
      <c r="C70" s="3"/>
      <c r="D70" s="4"/>
      <c r="E70" s="4"/>
      <c r="F70" s="4"/>
      <c r="G70" s="5"/>
    </row>
    <row r="71" spans="2:8" x14ac:dyDescent="0.2">
      <c r="B71" s="6" t="s">
        <v>49</v>
      </c>
      <c r="C71" s="28" t="s">
        <v>50</v>
      </c>
      <c r="D71" s="4"/>
      <c r="E71" s="4"/>
      <c r="F71" s="4"/>
      <c r="G71" s="5"/>
    </row>
    <row r="72" spans="2:8" x14ac:dyDescent="0.2">
      <c r="B72" s="6" t="s">
        <v>11</v>
      </c>
      <c r="C72" s="28">
        <v>1000</v>
      </c>
      <c r="D72" s="4"/>
      <c r="E72" s="4"/>
      <c r="F72" s="4"/>
      <c r="G72" s="5"/>
    </row>
    <row r="73" spans="2:8" x14ac:dyDescent="0.2">
      <c r="B73" s="6" t="s">
        <v>13</v>
      </c>
      <c r="C73" s="28">
        <v>2000</v>
      </c>
      <c r="D73" s="4"/>
      <c r="E73" s="4"/>
      <c r="F73" s="4"/>
      <c r="G73" s="5"/>
    </row>
    <row r="74" spans="2:8" x14ac:dyDescent="0.2">
      <c r="B74" s="6" t="s">
        <v>14</v>
      </c>
      <c r="C74" s="28">
        <v>3000</v>
      </c>
      <c r="D74" s="4"/>
      <c r="E74" s="4"/>
      <c r="F74" s="4"/>
      <c r="G74" s="5"/>
    </row>
    <row r="75" spans="2:8" x14ac:dyDescent="0.2">
      <c r="B75" s="6" t="s">
        <v>15</v>
      </c>
      <c r="C75" s="28">
        <v>0</v>
      </c>
      <c r="D75" s="4"/>
      <c r="E75" s="4"/>
      <c r="F75" s="4"/>
      <c r="G75" s="5"/>
    </row>
    <row r="76" spans="2:8" x14ac:dyDescent="0.2">
      <c r="B76" s="6" t="s">
        <v>16</v>
      </c>
      <c r="C76" s="28">
        <v>1000</v>
      </c>
      <c r="D76" s="4"/>
      <c r="E76" s="4"/>
      <c r="F76" s="4"/>
      <c r="G76" s="5"/>
    </row>
    <row r="77" spans="2:8" x14ac:dyDescent="0.2">
      <c r="B77" s="6" t="s">
        <v>17</v>
      </c>
      <c r="C77" s="28">
        <v>1000</v>
      </c>
      <c r="D77" s="4"/>
      <c r="E77" s="4"/>
      <c r="F77" s="4"/>
      <c r="G77" s="5"/>
    </row>
    <row r="78" spans="2:8" x14ac:dyDescent="0.2">
      <c r="B78" s="6" t="s">
        <v>18</v>
      </c>
      <c r="C78" s="28" t="s">
        <v>19</v>
      </c>
      <c r="D78" s="4"/>
      <c r="E78" s="4"/>
      <c r="F78" s="4"/>
      <c r="G78" s="5"/>
    </row>
    <row r="79" spans="2:8" x14ac:dyDescent="0.2">
      <c r="B79" s="6" t="s">
        <v>20</v>
      </c>
      <c r="C79" s="28" t="s">
        <v>74</v>
      </c>
      <c r="D79" s="4"/>
      <c r="E79" s="12"/>
      <c r="F79" s="4"/>
      <c r="G79" s="5"/>
    </row>
    <row r="80" spans="2:8" x14ac:dyDescent="0.2">
      <c r="B80" s="6" t="s">
        <v>21</v>
      </c>
      <c r="C80" s="28" t="s">
        <v>25</v>
      </c>
      <c r="D80" s="4"/>
      <c r="E80" s="4"/>
      <c r="F80" s="4"/>
      <c r="G80" s="5"/>
    </row>
    <row r="81" spans="2:9" x14ac:dyDescent="0.2">
      <c r="B81" s="6" t="s">
        <v>22</v>
      </c>
      <c r="C81" s="28">
        <v>1.2</v>
      </c>
      <c r="D81" s="4"/>
      <c r="E81" s="4"/>
      <c r="F81" s="4"/>
      <c r="G81" s="5"/>
    </row>
    <row r="82" spans="2:9" x14ac:dyDescent="0.2">
      <c r="B82" s="6" t="s">
        <v>23</v>
      </c>
      <c r="C82" s="28">
        <v>1</v>
      </c>
      <c r="D82" s="4"/>
      <c r="E82" s="4"/>
      <c r="F82" s="4"/>
      <c r="G82" s="5"/>
    </row>
    <row r="83" spans="2:9" x14ac:dyDescent="0.2">
      <c r="B83" s="6" t="s">
        <v>69</v>
      </c>
      <c r="C83" s="28">
        <v>1</v>
      </c>
      <c r="D83" s="4"/>
      <c r="E83" s="4"/>
      <c r="F83" s="4"/>
      <c r="G83" s="5"/>
    </row>
    <row r="84" spans="2:9" ht="13.5" thickBot="1" x14ac:dyDescent="0.25">
      <c r="B84" s="13" t="s">
        <v>24</v>
      </c>
      <c r="C84" s="37">
        <f>[1]!SteelUtilLocal(C71,C79,$C$78,$C$80,"ROLLED",$C$82,$C$81,C$83,1,$C$72,$C$73,$C$74,$C$75,$C$76,$C$77)</f>
        <v>1.1094494340217972E-2</v>
      </c>
      <c r="D84" s="4"/>
      <c r="E84" s="38" t="s">
        <v>65</v>
      </c>
      <c r="F84" s="4"/>
      <c r="G84" s="5"/>
    </row>
    <row r="85" spans="2:9" x14ac:dyDescent="0.2">
      <c r="B85" s="16"/>
      <c r="C85" s="4"/>
      <c r="D85" s="4"/>
      <c r="E85" s="4"/>
      <c r="F85" s="4"/>
      <c r="G85" s="4"/>
      <c r="H85" s="5"/>
    </row>
    <row r="86" spans="2:9" ht="13.5" thickBot="1" x14ac:dyDescent="0.25">
      <c r="B86" s="5"/>
      <c r="C86" s="5"/>
      <c r="D86" s="5"/>
      <c r="E86" s="5"/>
      <c r="F86" s="5"/>
      <c r="G86" s="5"/>
      <c r="H86" s="5"/>
    </row>
    <row r="87" spans="2:9" x14ac:dyDescent="0.2">
      <c r="B87" s="2" t="s">
        <v>27</v>
      </c>
      <c r="C87" s="11"/>
      <c r="D87" s="3"/>
      <c r="E87" s="5"/>
      <c r="F87" s="5"/>
      <c r="G87" s="5"/>
      <c r="H87" s="5"/>
    </row>
    <row r="88" spans="2:9" x14ac:dyDescent="0.2">
      <c r="B88" s="6" t="s">
        <v>49</v>
      </c>
      <c r="C88" s="27" t="s">
        <v>50</v>
      </c>
      <c r="D88" s="7"/>
      <c r="E88" s="4"/>
      <c r="F88" s="4"/>
      <c r="G88" s="4"/>
      <c r="H88" s="5"/>
    </row>
    <row r="89" spans="2:9" x14ac:dyDescent="0.2">
      <c r="B89" s="6"/>
      <c r="C89" s="4" t="s">
        <v>28</v>
      </c>
      <c r="D89" s="7" t="s">
        <v>29</v>
      </c>
      <c r="E89" s="5"/>
      <c r="F89" s="5"/>
      <c r="G89" s="5"/>
      <c r="H89" s="5"/>
    </row>
    <row r="90" spans="2:9" x14ac:dyDescent="0.2">
      <c r="B90" s="6" t="s">
        <v>11</v>
      </c>
      <c r="C90" s="27">
        <v>3000000</v>
      </c>
      <c r="D90" s="28">
        <f t="shared" ref="D90:D95" si="0">-C90</f>
        <v>-3000000</v>
      </c>
      <c r="E90" s="5"/>
      <c r="F90" s="5"/>
      <c r="G90" s="5"/>
      <c r="H90" s="5"/>
      <c r="I90" s="27"/>
    </row>
    <row r="91" spans="2:9" x14ac:dyDescent="0.2">
      <c r="B91" s="6" t="s">
        <v>13</v>
      </c>
      <c r="C91" s="27">
        <v>2000</v>
      </c>
      <c r="D91" s="28">
        <f t="shared" si="0"/>
        <v>-2000</v>
      </c>
      <c r="E91" s="5"/>
      <c r="F91" s="5"/>
      <c r="G91" s="5"/>
      <c r="H91" s="5"/>
      <c r="I91" s="27"/>
    </row>
    <row r="92" spans="2:9" x14ac:dyDescent="0.2">
      <c r="B92" s="6" t="s">
        <v>14</v>
      </c>
      <c r="C92" s="27">
        <v>3000</v>
      </c>
      <c r="D92" s="28">
        <f t="shared" si="0"/>
        <v>-3000</v>
      </c>
      <c r="E92" s="5"/>
      <c r="F92" s="5"/>
      <c r="G92" s="5"/>
      <c r="H92" s="5"/>
      <c r="I92" s="27"/>
    </row>
    <row r="93" spans="2:9" x14ac:dyDescent="0.2">
      <c r="B93" s="6" t="s">
        <v>15</v>
      </c>
      <c r="C93" s="27">
        <v>0</v>
      </c>
      <c r="D93" s="28">
        <f t="shared" si="0"/>
        <v>0</v>
      </c>
      <c r="E93" s="5"/>
      <c r="F93" s="5"/>
      <c r="G93" s="5"/>
      <c r="H93" s="5"/>
      <c r="I93" s="27"/>
    </row>
    <row r="94" spans="2:9" x14ac:dyDescent="0.2">
      <c r="B94" s="6" t="s">
        <v>16</v>
      </c>
      <c r="C94" s="27">
        <v>1000</v>
      </c>
      <c r="D94" s="28">
        <f t="shared" si="0"/>
        <v>-1000</v>
      </c>
      <c r="E94" s="5"/>
      <c r="F94" s="5"/>
      <c r="G94" s="5"/>
      <c r="H94" s="5"/>
      <c r="I94" s="27"/>
    </row>
    <row r="95" spans="2:9" x14ac:dyDescent="0.2">
      <c r="B95" s="6" t="s">
        <v>17</v>
      </c>
      <c r="C95" s="27">
        <v>1000</v>
      </c>
      <c r="D95" s="28">
        <f t="shared" si="0"/>
        <v>-1000</v>
      </c>
      <c r="E95" s="5"/>
      <c r="F95" s="5"/>
      <c r="G95" s="5"/>
      <c r="H95" s="5"/>
      <c r="I95" s="27"/>
    </row>
    <row r="96" spans="2:9" x14ac:dyDescent="0.2">
      <c r="B96" s="6" t="s">
        <v>18</v>
      </c>
      <c r="C96" s="27" t="s">
        <v>19</v>
      </c>
      <c r="D96" s="7"/>
      <c r="E96" s="5"/>
      <c r="F96" s="5"/>
      <c r="G96" s="5"/>
      <c r="H96" s="5"/>
    </row>
    <row r="97" spans="2:9" x14ac:dyDescent="0.2">
      <c r="B97" s="6" t="s">
        <v>20</v>
      </c>
      <c r="C97" s="28" t="s">
        <v>74</v>
      </c>
      <c r="D97" s="7"/>
      <c r="E97" s="5"/>
      <c r="F97" s="5"/>
      <c r="G97" s="5"/>
      <c r="H97" s="5"/>
    </row>
    <row r="98" spans="2:9" x14ac:dyDescent="0.2">
      <c r="B98" s="6" t="s">
        <v>21</v>
      </c>
      <c r="C98" s="27" t="s">
        <v>25</v>
      </c>
      <c r="D98" s="7"/>
      <c r="E98" s="5"/>
      <c r="F98" s="5"/>
      <c r="G98" s="5"/>
      <c r="H98" s="5"/>
    </row>
    <row r="99" spans="2:9" x14ac:dyDescent="0.2">
      <c r="B99" s="6" t="s">
        <v>22</v>
      </c>
      <c r="C99" s="27">
        <v>1.2</v>
      </c>
      <c r="D99" s="7"/>
      <c r="E99" s="5"/>
      <c r="F99" s="5"/>
      <c r="G99" s="5"/>
      <c r="H99" s="5"/>
    </row>
    <row r="100" spans="2:9" x14ac:dyDescent="0.2">
      <c r="B100" s="6" t="s">
        <v>23</v>
      </c>
      <c r="C100" s="27">
        <v>1</v>
      </c>
      <c r="D100" s="7"/>
      <c r="E100" s="5"/>
      <c r="F100" s="5"/>
      <c r="G100" s="5"/>
      <c r="H100" s="5"/>
    </row>
    <row r="101" spans="2:9" x14ac:dyDescent="0.2">
      <c r="B101" s="6" t="s">
        <v>69</v>
      </c>
      <c r="C101" s="28">
        <v>1</v>
      </c>
      <c r="D101" s="7"/>
      <c r="E101" s="5"/>
      <c r="F101" s="5"/>
      <c r="G101" s="5"/>
      <c r="H101" s="5"/>
    </row>
    <row r="102" spans="2:9" x14ac:dyDescent="0.2">
      <c r="B102" s="17" t="s">
        <v>30</v>
      </c>
      <c r="C102" s="27">
        <v>2</v>
      </c>
      <c r="D102" s="7"/>
      <c r="E102" s="5"/>
      <c r="F102" s="5"/>
      <c r="G102" s="5"/>
      <c r="H102" s="5"/>
    </row>
    <row r="103" spans="2:9" x14ac:dyDescent="0.2">
      <c r="B103" s="17" t="s">
        <v>32</v>
      </c>
      <c r="C103" s="27">
        <v>3</v>
      </c>
      <c r="D103" s="7"/>
      <c r="E103" s="5"/>
      <c r="F103" s="5"/>
      <c r="G103" s="5"/>
      <c r="H103" s="5"/>
    </row>
    <row r="104" spans="2:9" x14ac:dyDescent="0.2">
      <c r="B104" s="17" t="s">
        <v>31</v>
      </c>
      <c r="C104" s="27">
        <v>4</v>
      </c>
      <c r="D104" s="7"/>
      <c r="E104" s="5"/>
      <c r="F104" s="5"/>
      <c r="G104" s="5"/>
      <c r="H104" s="5"/>
    </row>
    <row r="105" spans="2:9" x14ac:dyDescent="0.2">
      <c r="B105" s="43" t="s">
        <v>77</v>
      </c>
      <c r="C105" s="27">
        <v>-1</v>
      </c>
      <c r="D105" s="7"/>
      <c r="E105" s="5"/>
      <c r="F105" s="41" t="s">
        <v>76</v>
      </c>
      <c r="G105" s="5"/>
      <c r="H105" s="5"/>
    </row>
    <row r="106" spans="2:9" x14ac:dyDescent="0.2">
      <c r="B106" s="17" t="s">
        <v>71</v>
      </c>
      <c r="C106" s="27">
        <v>-1</v>
      </c>
      <c r="D106" s="7"/>
      <c r="E106" s="5"/>
      <c r="F106" s="5" t="s">
        <v>73</v>
      </c>
      <c r="G106" s="5"/>
      <c r="H106" s="5"/>
    </row>
    <row r="107" spans="2:9" x14ac:dyDescent="0.2">
      <c r="B107" s="17" t="s">
        <v>72</v>
      </c>
      <c r="C107" s="27">
        <v>-1</v>
      </c>
      <c r="D107" s="7"/>
      <c r="E107" s="5"/>
      <c r="F107" s="5" t="s">
        <v>73</v>
      </c>
      <c r="G107" s="5"/>
      <c r="H107" s="5"/>
    </row>
    <row r="108" spans="2:9" x14ac:dyDescent="0.2">
      <c r="B108" s="6"/>
      <c r="C108" s="4"/>
      <c r="D108" s="7"/>
      <c r="E108" s="5"/>
      <c r="F108" s="5"/>
      <c r="G108" s="5"/>
      <c r="H108" s="5"/>
    </row>
    <row r="109" spans="2:9" ht="13.5" thickBot="1" x14ac:dyDescent="0.25">
      <c r="B109" s="13" t="s">
        <v>26</v>
      </c>
      <c r="C109" s="14">
        <f>[1]!SteelUtilMemberA(C88,C97,C96,C98,"ROLLED",C100,C99,C101,1,C102,C103,C104,C90,C91,C92,C93,C94,C95,D90,D91,D92,D93,D94,D95,C105,C106,C107)</f>
        <v>1.130212867362929</v>
      </c>
      <c r="D109" s="15"/>
      <c r="E109" s="5"/>
      <c r="F109" s="38" t="s">
        <v>66</v>
      </c>
      <c r="G109" s="5"/>
      <c r="H109" s="5"/>
    </row>
    <row r="110" spans="2:9" x14ac:dyDescent="0.2">
      <c r="B110" s="4"/>
      <c r="C110" s="4"/>
      <c r="D110" s="4"/>
      <c r="E110" s="5"/>
      <c r="F110" s="5"/>
      <c r="G110" s="5"/>
      <c r="H110" s="5"/>
      <c r="I110" s="20"/>
    </row>
    <row r="111" spans="2:9" ht="13.5" thickBot="1" x14ac:dyDescent="0.25">
      <c r="B111" s="5"/>
      <c r="C111" s="5"/>
      <c r="D111" s="5"/>
      <c r="E111" s="5"/>
      <c r="F111" s="5"/>
      <c r="G111" s="5"/>
      <c r="H111" s="5"/>
      <c r="I111" s="20"/>
    </row>
    <row r="112" spans="2:9" x14ac:dyDescent="0.2">
      <c r="B112" s="2" t="s">
        <v>34</v>
      </c>
      <c r="C112" s="11"/>
      <c r="D112" s="11"/>
      <c r="E112" s="11"/>
      <c r="F112" s="11"/>
      <c r="G112" s="3"/>
      <c r="H112" s="5"/>
      <c r="I112" s="20"/>
    </row>
    <row r="113" spans="2:9" x14ac:dyDescent="0.2">
      <c r="B113" s="6" t="s">
        <v>49</v>
      </c>
      <c r="C113" s="27" t="s">
        <v>50</v>
      </c>
      <c r="E113" s="4"/>
      <c r="F113" s="4"/>
      <c r="G113" s="7"/>
      <c r="H113" s="5"/>
    </row>
    <row r="114" spans="2:9" x14ac:dyDescent="0.2">
      <c r="B114" s="6" t="s">
        <v>64</v>
      </c>
      <c r="C114" s="27">
        <v>1</v>
      </c>
      <c r="D114" s="27">
        <v>2</v>
      </c>
      <c r="E114" s="27">
        <v>5</v>
      </c>
      <c r="F114" s="27">
        <v>7</v>
      </c>
      <c r="G114" s="28">
        <v>12</v>
      </c>
      <c r="H114" s="5"/>
      <c r="I114" s="20"/>
    </row>
    <row r="115" spans="2:9" x14ac:dyDescent="0.2">
      <c r="B115" s="6" t="s">
        <v>11</v>
      </c>
      <c r="C115" s="27">
        <v>1000</v>
      </c>
      <c r="D115" s="27">
        <v>500</v>
      </c>
      <c r="E115" s="27">
        <v>0</v>
      </c>
      <c r="F115" s="27">
        <v>-500</v>
      </c>
      <c r="G115" s="28">
        <v>-1000</v>
      </c>
      <c r="H115" s="5"/>
      <c r="I115" s="27"/>
    </row>
    <row r="116" spans="2:9" x14ac:dyDescent="0.2">
      <c r="B116" s="6" t="s">
        <v>13</v>
      </c>
      <c r="C116" s="27">
        <v>2000</v>
      </c>
      <c r="D116" s="27">
        <v>1000</v>
      </c>
      <c r="E116" s="27">
        <v>0</v>
      </c>
      <c r="F116" s="27">
        <v>-1000</v>
      </c>
      <c r="G116" s="28">
        <v>-2000</v>
      </c>
      <c r="H116" s="5"/>
      <c r="I116" s="27"/>
    </row>
    <row r="117" spans="2:9" x14ac:dyDescent="0.2">
      <c r="B117" s="6" t="s">
        <v>14</v>
      </c>
      <c r="C117" s="27">
        <v>3000</v>
      </c>
      <c r="D117" s="27">
        <v>1500</v>
      </c>
      <c r="E117" s="27">
        <v>0</v>
      </c>
      <c r="F117" s="27">
        <v>-1500</v>
      </c>
      <c r="G117" s="28">
        <v>-3000</v>
      </c>
      <c r="H117" s="5"/>
      <c r="I117" s="27"/>
    </row>
    <row r="118" spans="2:9" x14ac:dyDescent="0.2">
      <c r="B118" s="6" t="s">
        <v>15</v>
      </c>
      <c r="C118" s="27">
        <v>0</v>
      </c>
      <c r="D118" s="27">
        <v>0</v>
      </c>
      <c r="E118" s="27">
        <v>0</v>
      </c>
      <c r="F118" s="27">
        <v>0</v>
      </c>
      <c r="G118" s="28">
        <v>0</v>
      </c>
      <c r="H118" s="5"/>
      <c r="I118" s="27"/>
    </row>
    <row r="119" spans="2:9" x14ac:dyDescent="0.2">
      <c r="B119" s="6" t="s">
        <v>16</v>
      </c>
      <c r="C119" s="27">
        <v>1000</v>
      </c>
      <c r="D119" s="27">
        <v>500</v>
      </c>
      <c r="E119" s="27">
        <v>0</v>
      </c>
      <c r="F119" s="27">
        <v>-500</v>
      </c>
      <c r="G119" s="28">
        <v>-1000</v>
      </c>
      <c r="H119" s="5"/>
      <c r="I119" s="27"/>
    </row>
    <row r="120" spans="2:9" x14ac:dyDescent="0.2">
      <c r="B120" s="6" t="s">
        <v>17</v>
      </c>
      <c r="C120" s="27">
        <v>1000</v>
      </c>
      <c r="D120" s="27">
        <v>500</v>
      </c>
      <c r="E120" s="27">
        <v>0</v>
      </c>
      <c r="F120" s="27">
        <v>-500</v>
      </c>
      <c r="G120" s="28">
        <v>-1000</v>
      </c>
      <c r="H120" s="5"/>
      <c r="I120" s="27"/>
    </row>
    <row r="121" spans="2:9" x14ac:dyDescent="0.2">
      <c r="B121" s="6" t="s">
        <v>18</v>
      </c>
      <c r="C121" s="27" t="s">
        <v>19</v>
      </c>
      <c r="D121" s="4"/>
      <c r="E121" s="4"/>
      <c r="F121" s="4"/>
      <c r="G121" s="7"/>
      <c r="H121" s="5"/>
    </row>
    <row r="122" spans="2:9" x14ac:dyDescent="0.2">
      <c r="B122" s="6" t="s">
        <v>20</v>
      </c>
      <c r="C122" s="27" t="s">
        <v>74</v>
      </c>
      <c r="D122" s="4"/>
      <c r="E122" s="4"/>
      <c r="F122" s="4"/>
      <c r="G122" s="7"/>
      <c r="H122" s="5"/>
    </row>
    <row r="123" spans="2:9" x14ac:dyDescent="0.2">
      <c r="B123" s="6" t="s">
        <v>21</v>
      </c>
      <c r="C123" s="27" t="s">
        <v>25</v>
      </c>
      <c r="D123" s="4"/>
      <c r="E123" s="4"/>
      <c r="F123" s="4"/>
      <c r="G123" s="7"/>
      <c r="H123" s="5"/>
    </row>
    <row r="124" spans="2:9" x14ac:dyDescent="0.2">
      <c r="B124" s="6" t="s">
        <v>22</v>
      </c>
      <c r="C124" s="27">
        <v>1.2</v>
      </c>
      <c r="D124" s="4"/>
      <c r="E124" s="4"/>
      <c r="F124" s="4"/>
      <c r="G124" s="7"/>
      <c r="H124" s="5"/>
    </row>
    <row r="125" spans="2:9" x14ac:dyDescent="0.2">
      <c r="B125" s="6" t="s">
        <v>23</v>
      </c>
      <c r="C125" s="27">
        <v>1</v>
      </c>
      <c r="D125" s="4"/>
      <c r="E125" s="4"/>
      <c r="F125" s="4"/>
      <c r="G125" s="7"/>
      <c r="H125" s="5"/>
    </row>
    <row r="126" spans="2:9" x14ac:dyDescent="0.2">
      <c r="B126" s="6" t="s">
        <v>69</v>
      </c>
      <c r="C126" s="27">
        <v>1</v>
      </c>
      <c r="D126" s="4"/>
      <c r="E126" s="4"/>
      <c r="F126" s="4"/>
      <c r="G126" s="7"/>
      <c r="H126" s="5"/>
    </row>
    <row r="127" spans="2:9" x14ac:dyDescent="0.2">
      <c r="B127" s="17" t="s">
        <v>30</v>
      </c>
      <c r="C127" s="27">
        <v>2</v>
      </c>
      <c r="D127" s="4"/>
      <c r="E127" s="4"/>
      <c r="F127" s="4"/>
      <c r="G127" s="7"/>
      <c r="H127" s="5"/>
    </row>
    <row r="128" spans="2:9" x14ac:dyDescent="0.2">
      <c r="B128" s="17" t="s">
        <v>32</v>
      </c>
      <c r="C128" s="27">
        <v>3</v>
      </c>
      <c r="D128" s="4"/>
      <c r="E128" s="4"/>
      <c r="F128" s="4"/>
      <c r="G128" s="7"/>
      <c r="H128" s="5"/>
    </row>
    <row r="129" spans="2:9" x14ac:dyDescent="0.2">
      <c r="B129" s="17" t="s">
        <v>35</v>
      </c>
      <c r="C129" s="27">
        <v>4</v>
      </c>
      <c r="D129" s="4"/>
      <c r="E129" s="4"/>
      <c r="F129" s="4"/>
      <c r="G129" s="7"/>
    </row>
    <row r="130" spans="2:9" x14ac:dyDescent="0.2">
      <c r="B130" s="17" t="s">
        <v>70</v>
      </c>
      <c r="C130" s="27">
        <v>-1</v>
      </c>
      <c r="D130" s="4"/>
      <c r="E130" s="4"/>
      <c r="F130" s="4"/>
      <c r="G130" s="7"/>
      <c r="I130" s="41" t="s">
        <v>76</v>
      </c>
    </row>
    <row r="131" spans="2:9" x14ac:dyDescent="0.2">
      <c r="B131" s="17" t="s">
        <v>71</v>
      </c>
      <c r="C131" s="27">
        <v>-1</v>
      </c>
      <c r="D131" s="4"/>
      <c r="E131" s="4"/>
      <c r="F131" s="4"/>
      <c r="G131" s="7"/>
      <c r="I131" s="5" t="s">
        <v>73</v>
      </c>
    </row>
    <row r="132" spans="2:9" x14ac:dyDescent="0.2">
      <c r="B132" s="17" t="s">
        <v>72</v>
      </c>
      <c r="C132" s="27">
        <v>-1</v>
      </c>
      <c r="D132" s="4"/>
      <c r="E132" s="4"/>
      <c r="F132" s="4"/>
      <c r="G132" s="7"/>
      <c r="I132" s="5" t="s">
        <v>73</v>
      </c>
    </row>
    <row r="133" spans="2:9" x14ac:dyDescent="0.2">
      <c r="B133" s="6"/>
      <c r="C133" s="4"/>
      <c r="D133" s="4"/>
      <c r="E133" s="4"/>
      <c r="F133" s="4"/>
      <c r="G133" s="7"/>
    </row>
    <row r="134" spans="2:9" ht="13.5" thickBot="1" x14ac:dyDescent="0.25">
      <c r="B134" s="13" t="s">
        <v>33</v>
      </c>
      <c r="C134" s="14">
        <f>[1]!SteelUtilMemberB(C113,$C$122,$C$121,$C$123,"ROLLED",$C$125,$C$124,C126,1,$C$127,$C$128,$C$129,$C$114:$I$114,$C$115:$I$115,$C$116:$I$116,$C$117:$I$117,$C$118:$I$118,$C$119:$I$119,$C$120:$I$120,C130,C131,C132)</f>
        <v>1.1094494340217972E-2</v>
      </c>
      <c r="D134" s="18"/>
      <c r="E134" s="18"/>
      <c r="F134" s="18"/>
      <c r="G134" s="19"/>
      <c r="I134" s="38" t="s">
        <v>67</v>
      </c>
    </row>
    <row r="135" spans="2:9" x14ac:dyDescent="0.2">
      <c r="C135" s="1"/>
      <c r="D135" s="1"/>
      <c r="E135" s="1"/>
      <c r="F135" s="1"/>
      <c r="G135" s="1"/>
    </row>
  </sheetData>
  <mergeCells count="1">
    <mergeCell ref="H14:K14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Steel Design Demo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SteelDesign XLA Demo</dc:title>
  <dc:subject>Steel Design Code Checking</dc:subject>
  <dc:creator>Philip Mulcahy</dc:creator>
  <cp:lastModifiedBy>Tieqiang Li</cp:lastModifiedBy>
  <dcterms:created xsi:type="dcterms:W3CDTF">2002-03-27T17:34:02Z</dcterms:created>
  <dcterms:modified xsi:type="dcterms:W3CDTF">2023-03-01T09:42:39Z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2022-05-09T10:35:04Z</vt:lpwstr>
  </property>
  <property fmtid="{D5CDD505-2E9C-101B-9397-08002B2CF9AE}" pid="4" name="MSIP_Label_82fa3fd3-029b-403d-91b4-1dc930cb0e60_Method">
    <vt:lpwstr>Privileged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8b6e9c14-d7fd-475b-9861-c6776058969a</vt:lpwstr>
  </property>
  <property fmtid="{D5CDD505-2E9C-101B-9397-08002B2CF9AE}" pid="8" name="MSIP_Label_82fa3fd3-029b-403d-91b4-1dc930cb0e60_ContentBits">
    <vt:lpwstr>0</vt:lpwstr>
  </property>
</Properties>
</file>